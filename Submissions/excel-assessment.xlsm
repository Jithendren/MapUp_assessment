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apple/Desktop/mapup assessment/"/>
    </mc:Choice>
  </mc:AlternateContent>
  <xr:revisionPtr revIDLastSave="0" documentId="13_ncr:1_{54C12701-66B8-CA49-9477-3E634FCBB2A7}" xr6:coauthVersionLast="47" xr6:coauthVersionMax="47" xr10:uidLastSave="{00000000-0000-0000-0000-000000000000}"/>
  <bookViews>
    <workbookView xWindow="0" yWindow="0" windowWidth="33600" windowHeight="210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5" i="20" l="1"/>
  <c r="C34" i="20"/>
  <c r="C33" i="20"/>
  <c r="C32" i="20"/>
  <c r="C31" i="20"/>
  <c r="C30" i="20"/>
  <c r="C29" i="20"/>
  <c r="C28" i="20"/>
  <c r="C27" i="20"/>
  <c r="C26" i="20"/>
  <c r="C24" i="20"/>
  <c r="C23" i="20"/>
  <c r="C25" i="20"/>
  <c r="C22" i="19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7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18" i="16"/>
  <c r="Y3" i="15"/>
  <c r="Y4" i="15"/>
  <c r="Y5" i="15"/>
  <c r="Y6" i="15"/>
  <c r="Y7" i="15"/>
  <c r="Y8" i="15"/>
  <c r="Y9" i="15"/>
  <c r="Y10" i="15"/>
  <c r="Y11" i="15"/>
  <c r="Y12" i="15"/>
  <c r="Y13" i="15"/>
  <c r="Y14" i="15"/>
  <c r="Y15" i="15"/>
  <c r="Y16" i="15"/>
  <c r="Y17" i="15"/>
  <c r="Y18" i="15"/>
  <c r="Y19" i="15"/>
  <c r="Y20" i="15"/>
  <c r="Y21" i="15"/>
  <c r="Y22" i="15"/>
  <c r="Y23" i="15"/>
  <c r="Y24" i="15"/>
  <c r="Y25" i="15"/>
  <c r="Y26" i="15"/>
  <c r="Y27" i="15"/>
  <c r="Y28" i="15"/>
  <c r="Y29" i="15"/>
  <c r="Y30" i="15"/>
  <c r="Y31" i="15"/>
  <c r="Y32" i="15"/>
  <c r="Y33" i="15"/>
  <c r="Y34" i="15"/>
  <c r="Y35" i="15"/>
  <c r="Y36" i="15"/>
  <c r="Y37" i="15"/>
  <c r="Y38" i="15"/>
  <c r="Y39" i="15"/>
  <c r="Y40" i="15"/>
  <c r="Y2" i="15"/>
  <c r="G65" i="15"/>
</calcChain>
</file>

<file path=xl/sharedStrings.xml><?xml version="1.0" encoding="utf-8"?>
<sst xmlns="http://schemas.openxmlformats.org/spreadsheetml/2006/main" count="470" uniqueCount="181">
  <si>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</si>
  <si>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</si>
  <si>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</si>
  <si>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</si>
  <si>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</si>
  <si>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</si>
  <si>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</si>
  <si>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</si>
  <si>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</si>
  <si>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</si>
  <si>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</si>
  <si>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</si>
  <si>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</si>
  <si>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</si>
  <si>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</si>
  <si>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</si>
  <si>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</si>
  <si>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</si>
  <si>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</si>
  <si>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</si>
  <si>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</si>
  <si>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</si>
  <si>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</si>
  <si>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</si>
  <si>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</si>
  <si>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</si>
  <si>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</si>
  <si>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</si>
  <si>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</si>
  <si>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</si>
  <si>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</si>
  <si>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</si>
  <si>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</si>
  <si>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</si>
  <si>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</si>
  <si>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</si>
  <si>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</si>
  <si>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</si>
  <si>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</si>
  <si>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</si>
  <si>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</si>
  <si>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</si>
  <si>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</si>
  <si>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</si>
  <si>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</si>
  <si>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</si>
  <si>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</si>
  <si>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</si>
  <si>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</si>
  <si>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</si>
  <si>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</si>
  <si>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</si>
  <si>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</si>
  <si>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</si>
  <si>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</si>
  <si>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</si>
  <si>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</si>
  <si>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</si>
  <si>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</si>
  <si>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</si>
  <si>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</si>
  <si>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</si>
  <si>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</si>
  <si>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</si>
  <si>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</si>
  <si>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</si>
  <si>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</si>
  <si>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</si>
  <si>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</si>
  <si>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</si>
  <si>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</si>
  <si>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</si>
  <si>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</si>
  <si>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</si>
  <si>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</si>
  <si>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</si>
  <si>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</si>
  <si>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</si>
  <si>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</si>
  <si>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</si>
  <si>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</si>
  <si>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</si>
  <si>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</si>
  <si>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</si>
  <si>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</si>
  <si>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</si>
  <si>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</si>
  <si>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</si>
  <si>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</si>
  <si>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</si>
  <si>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</si>
  <si>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</si>
  <si>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</si>
  <si>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</si>
  <si>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</si>
  <si>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</si>
  <si>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</si>
  <si>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</si>
  <si>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</si>
  <si>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</si>
  <si>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</si>
  <si>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</si>
  <si>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</si>
  <si>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</si>
  <si>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</si>
  <si>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</si>
  <si>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</si>
  <si>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</si>
  <si>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</si>
  <si>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</si>
  <si>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</si>
  <si>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</si>
  <si>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</si>
  <si>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</si>
  <si>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</si>
  <si>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</si>
  <si>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</si>
  <si>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</si>
  <si>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</si>
  <si>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</si>
  <si>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</si>
  <si>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</si>
  <si>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</si>
  <si>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</si>
  <si>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</si>
  <si>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</si>
  <si>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</si>
  <si>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</si>
  <si>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</si>
  <si>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</si>
  <si>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</si>
  <si>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</si>
  <si>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</si>
  <si>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</si>
  <si>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</si>
  <si>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</si>
  <si>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</si>
  <si>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</si>
  <si>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</si>
  <si>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</si>
  <si>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</si>
  <si>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</si>
  <si>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</si>
  <si>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</si>
  <si>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</si>
  <si>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</si>
  <si>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</si>
  <si>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</si>
  <si>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</si>
  <si>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</si>
  <si>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</si>
  <si>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</si>
  <si>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</si>
  <si>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</si>
  <si>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</si>
  <si>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</si>
  <si>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</si>
  <si>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</si>
  <si>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</si>
  <si>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</si>
  <si>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</si>
  <si>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</si>
  <si>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</si>
  <si>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</si>
  <si>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</si>
  <si>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</si>
  <si>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</si>
  <si>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</si>
  <si>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</si>
  <si>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</si>
  <si>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</si>
  <si>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</si>
  <si>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</si>
  <si>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</si>
  <si>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</si>
  <si>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</si>
  <si>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</si>
  <si>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SUMIF(H2:H40,"&gt;20")</t>
  </si>
  <si>
    <t>Wednesday</t>
  </si>
  <si>
    <t>we use text to columns</t>
  </si>
  <si>
    <t>text to columns is used to split the columns based in our needs and gives the correct 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</si>
</sst>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dd/mm/yyyy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66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="150" zoomScaleNormal="100" workbookViewId="0">
      <selection activeCell="A11" sqref="A11"/>
    </sheetView>
  </sheetViews>
  <sheetFormatPr baseColWidth="10" defaultRowHeight="14" x14ac:dyDescent="0.2"/>
  <cols>
    <col min="1" max="1" width="70.796875" style="2" bestFit="1" customWidth="1"/>
    <col min="2" max="16384" width="11" style="2"/>
  </cols>
  <sheetData>
    <row r="1" spans="1:3" ht="19" x14ac:dyDescent="0.25">
      <c r="A1" s="39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6" t="s">
        <v>171</v>
      </c>
      <c r="B9" s="25" t="s">
        <v>169</v>
      </c>
    </row>
    <row r="10" spans="1:3" x14ac:dyDescent="0.2">
      <c r="A10" s="35" t="s">
        <v>172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selection activeCell="I32" sqref="I32"/>
    </sheetView>
  </sheetViews>
  <sheetFormatPr baseColWidth="10" defaultColWidth="9" defaultRowHeight="15" x14ac:dyDescent="0.2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2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2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>
        <v>45051</v>
      </c>
    </row>
    <row r="3" spans="1:24" x14ac:dyDescent="0.2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>
        <v>45048</v>
      </c>
    </row>
    <row r="4" spans="1:24" x14ac:dyDescent="0.2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>
        <v>45055</v>
      </c>
    </row>
    <row r="5" spans="1:24" x14ac:dyDescent="0.2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>
        <v>45059</v>
      </c>
    </row>
    <row r="6" spans="1:24" x14ac:dyDescent="0.2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>
        <v>45076</v>
      </c>
    </row>
    <row r="7" spans="1:24" x14ac:dyDescent="0.2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>
        <v>45057</v>
      </c>
    </row>
    <row r="8" spans="1:24" x14ac:dyDescent="0.2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>
        <v>45052</v>
      </c>
    </row>
    <row r="9" spans="1:24" x14ac:dyDescent="0.2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>
        <v>45098</v>
      </c>
    </row>
    <row r="10" spans="1:24" x14ac:dyDescent="0.2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6">
        <v>45092</v>
      </c>
    </row>
    <row r="11" spans="1:24" x14ac:dyDescent="0.2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6">
        <v>45104</v>
      </c>
    </row>
    <row r="12" spans="1:24" x14ac:dyDescent="0.2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6">
        <v>45116</v>
      </c>
    </row>
    <row r="13" spans="1:24" x14ac:dyDescent="0.2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6">
        <v>45110</v>
      </c>
    </row>
    <row r="14" spans="1:24" x14ac:dyDescent="0.2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6">
        <v>45095</v>
      </c>
    </row>
    <row r="15" spans="1:24" x14ac:dyDescent="0.2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6">
        <v>45113</v>
      </c>
    </row>
    <row r="16" spans="1:24" x14ac:dyDescent="0.2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6">
        <v>45063</v>
      </c>
    </row>
    <row r="17" spans="1:24" x14ac:dyDescent="0.2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6">
        <v>45071</v>
      </c>
    </row>
    <row r="18" spans="1:24" x14ac:dyDescent="0.2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6">
        <v>45085</v>
      </c>
    </row>
    <row r="19" spans="1:24" x14ac:dyDescent="0.2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6">
        <v>45099</v>
      </c>
    </row>
    <row r="20" spans="1:24" x14ac:dyDescent="0.2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6">
        <v>45091</v>
      </c>
    </row>
    <row r="21" spans="1:24" x14ac:dyDescent="0.2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6">
        <v>45079</v>
      </c>
    </row>
    <row r="22" spans="1:24" x14ac:dyDescent="0.2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6">
        <v>45075</v>
      </c>
    </row>
    <row r="23" spans="1:24" x14ac:dyDescent="0.2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6">
        <v>45110</v>
      </c>
    </row>
    <row r="24" spans="1:24" x14ac:dyDescent="0.2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6">
        <v>45114</v>
      </c>
    </row>
    <row r="25" spans="1:24" x14ac:dyDescent="0.2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6">
        <v>45118</v>
      </c>
    </row>
    <row r="26" spans="1:24" x14ac:dyDescent="0.2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6">
        <v>45142</v>
      </c>
    </row>
    <row r="27" spans="1:24" x14ac:dyDescent="0.2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6">
        <v>45146</v>
      </c>
    </row>
    <row r="28" spans="1:24" x14ac:dyDescent="0.2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6">
        <v>45108</v>
      </c>
    </row>
    <row r="29" spans="1:24" x14ac:dyDescent="0.2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6">
        <v>45153</v>
      </c>
    </row>
    <row r="30" spans="1:24" x14ac:dyDescent="0.2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6">
        <v>45150</v>
      </c>
    </row>
    <row r="31" spans="1:24" x14ac:dyDescent="0.2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6">
        <v>45157</v>
      </c>
    </row>
    <row r="32" spans="1:24" x14ac:dyDescent="0.2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6">
        <v>45143</v>
      </c>
    </row>
    <row r="33" spans="1:24" x14ac:dyDescent="0.2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6">
        <v>45166</v>
      </c>
    </row>
    <row r="34" spans="1:24" x14ac:dyDescent="0.2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6">
        <v>45162</v>
      </c>
    </row>
    <row r="35" spans="1:24" x14ac:dyDescent="0.2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6">
        <v>45160</v>
      </c>
    </row>
    <row r="36" spans="1:24" x14ac:dyDescent="0.2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6">
        <v>45179</v>
      </c>
    </row>
    <row r="37" spans="1:24" x14ac:dyDescent="0.2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6">
        <v>45157</v>
      </c>
    </row>
    <row r="38" spans="1:24" x14ac:dyDescent="0.2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6">
        <v>45143</v>
      </c>
    </row>
    <row r="39" spans="1:24" x14ac:dyDescent="0.2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6">
        <v>45166</v>
      </c>
    </row>
    <row r="40" spans="1:24" x14ac:dyDescent="0.2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6">
        <v>45162</v>
      </c>
    </row>
  </sheetData>
  <conditionalFormatting sqref="A1:A1048576">
    <cfRule type="duplicateValues" dxfId="3" priority="2"/>
  </conditionalFormatting>
  <conditionalFormatting sqref="B1:B1048576">
    <cfRule type="duplicateValues" dxfId="2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Y67"/>
  <sheetViews>
    <sheetView topLeftCell="A50" zoomScaleNormal="100" workbookViewId="0">
      <pane xSplit="1" topLeftCell="B1" activePane="topRight" state="frozen"/>
      <selection pane="topRight" activeCell="E25" sqref="E25"/>
    </sheetView>
  </sheetViews>
  <sheetFormatPr baseColWidth="10" defaultRowHeight="15" x14ac:dyDescent="0.2"/>
  <cols>
    <col min="1" max="1" width="26.59765625" style="1" customWidth="1"/>
    <col min="2" max="2" width="18" style="1" customWidth="1"/>
    <col min="3" max="3" width="27.59765625" style="1" bestFit="1" customWidth="1"/>
    <col min="4" max="4" width="11" style="1"/>
    <col min="5" max="5" width="78.796875" style="1" customWidth="1"/>
    <col min="6" max="6" width="50" style="1" customWidth="1"/>
    <col min="7" max="7" width="16.19921875" style="1" customWidth="1"/>
    <col min="8" max="8" width="22.59765625" style="1" customWidth="1"/>
    <col min="9" max="23" width="11" style="1"/>
    <col min="24" max="24" width="18" style="1" customWidth="1"/>
    <col min="25" max="25" width="15" style="1" customWidth="1"/>
    <col min="26" max="16384" width="11" style="1"/>
  </cols>
  <sheetData>
    <row r="1" spans="1:25" x14ac:dyDescent="0.2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5" x14ac:dyDescent="0.2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>
        <v>45051</v>
      </c>
      <c r="Y2" s="1" t="str">
        <f>TEXT(X2, "YYYY-MM-DD")</f>
        <v>2023-05-05</v>
      </c>
    </row>
    <row r="3" spans="1:25" x14ac:dyDescent="0.2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>
        <v>45048</v>
      </c>
      <c r="Y3" s="1" t="str">
        <f t="shared" ref="Y3:Y40" si="0">TEXT(X3, "YYYY-MM-DD")</f>
        <v>2023-05-02</v>
      </c>
    </row>
    <row r="4" spans="1:25" x14ac:dyDescent="0.2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>
        <v>45055</v>
      </c>
      <c r="Y4" s="1" t="str">
        <f t="shared" si="0"/>
        <v>2023-05-09</v>
      </c>
    </row>
    <row r="5" spans="1:25" x14ac:dyDescent="0.2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>
        <v>45059</v>
      </c>
      <c r="Y5" s="1" t="str">
        <f t="shared" si="0"/>
        <v>2023-05-13</v>
      </c>
    </row>
    <row r="6" spans="1:25" x14ac:dyDescent="0.2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>
        <v>45076</v>
      </c>
      <c r="Y6" s="1" t="str">
        <f t="shared" si="0"/>
        <v>2023-05-30</v>
      </c>
    </row>
    <row r="7" spans="1:25" x14ac:dyDescent="0.2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>
        <v>45057</v>
      </c>
      <c r="Y7" s="1" t="str">
        <f t="shared" si="0"/>
        <v>2023-05-11</v>
      </c>
    </row>
    <row r="8" spans="1:25" x14ac:dyDescent="0.2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>
        <v>45052</v>
      </c>
      <c r="Y8" s="1" t="str">
        <f t="shared" si="0"/>
        <v>2023-05-06</v>
      </c>
    </row>
    <row r="9" spans="1:25" x14ac:dyDescent="0.2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>
        <v>45098</v>
      </c>
      <c r="Y9" s="1" t="str">
        <f t="shared" si="0"/>
        <v>2023-06-21</v>
      </c>
    </row>
    <row r="10" spans="1:25" x14ac:dyDescent="0.2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6">
        <v>45092</v>
      </c>
      <c r="Y10" s="1" t="str">
        <f t="shared" si="0"/>
        <v>2023-06-15</v>
      </c>
    </row>
    <row r="11" spans="1:25" x14ac:dyDescent="0.2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6">
        <v>45104</v>
      </c>
      <c r="Y11" s="1" t="str">
        <f t="shared" si="0"/>
        <v>2023-06-27</v>
      </c>
    </row>
    <row r="12" spans="1:25" x14ac:dyDescent="0.2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6">
        <v>45116</v>
      </c>
      <c r="Y12" s="1" t="str">
        <f t="shared" si="0"/>
        <v>2023-07-09</v>
      </c>
    </row>
    <row r="13" spans="1:25" x14ac:dyDescent="0.2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6">
        <v>45110</v>
      </c>
      <c r="Y13" s="1" t="str">
        <f t="shared" si="0"/>
        <v>2023-07-03</v>
      </c>
    </row>
    <row r="14" spans="1:25" x14ac:dyDescent="0.2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6">
        <v>45095</v>
      </c>
      <c r="Y14" s="1" t="str">
        <f t="shared" si="0"/>
        <v>2023-06-18</v>
      </c>
    </row>
    <row r="15" spans="1:25" x14ac:dyDescent="0.2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6">
        <v>45113</v>
      </c>
      <c r="Y15" s="1" t="str">
        <f t="shared" si="0"/>
        <v>2023-07-06</v>
      </c>
    </row>
    <row r="16" spans="1:25" x14ac:dyDescent="0.2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6">
        <v>45063</v>
      </c>
      <c r="Y16" s="1" t="str">
        <f t="shared" si="0"/>
        <v>2023-05-17</v>
      </c>
    </row>
    <row r="17" spans="1:25" x14ac:dyDescent="0.2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6">
        <v>45071</v>
      </c>
      <c r="Y17" s="1" t="str">
        <f t="shared" si="0"/>
        <v>2023-05-25</v>
      </c>
    </row>
    <row r="18" spans="1:25" x14ac:dyDescent="0.2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6">
        <v>45085</v>
      </c>
      <c r="Y18" s="1" t="str">
        <f t="shared" si="0"/>
        <v>2023-06-08</v>
      </c>
    </row>
    <row r="19" spans="1:25" x14ac:dyDescent="0.2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6">
        <v>45099</v>
      </c>
      <c r="Y19" s="1" t="str">
        <f t="shared" si="0"/>
        <v>2023-06-22</v>
      </c>
    </row>
    <row r="20" spans="1:25" x14ac:dyDescent="0.2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6">
        <v>45091</v>
      </c>
      <c r="Y20" s="1" t="str">
        <f t="shared" si="0"/>
        <v>2023-06-14</v>
      </c>
    </row>
    <row r="21" spans="1:25" x14ac:dyDescent="0.2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6">
        <v>45079</v>
      </c>
      <c r="Y21" s="1" t="str">
        <f t="shared" si="0"/>
        <v>2023-06-02</v>
      </c>
    </row>
    <row r="22" spans="1:25" x14ac:dyDescent="0.2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6">
        <v>45075</v>
      </c>
      <c r="Y22" s="1" t="str">
        <f t="shared" si="0"/>
        <v>2023-05-29</v>
      </c>
    </row>
    <row r="23" spans="1:25" x14ac:dyDescent="0.2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6">
        <v>45110</v>
      </c>
      <c r="Y23" s="1" t="str">
        <f t="shared" si="0"/>
        <v>2023-07-03</v>
      </c>
    </row>
    <row r="24" spans="1:25" x14ac:dyDescent="0.2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6">
        <v>45114</v>
      </c>
      <c r="Y24" s="1" t="str">
        <f t="shared" si="0"/>
        <v>2023-07-07</v>
      </c>
    </row>
    <row r="25" spans="1:25" x14ac:dyDescent="0.2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6">
        <v>45118</v>
      </c>
      <c r="Y25" s="1" t="str">
        <f t="shared" si="0"/>
        <v>2023-07-11</v>
      </c>
    </row>
    <row r="26" spans="1:25" x14ac:dyDescent="0.2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6">
        <v>45142</v>
      </c>
      <c r="Y26" s="1" t="str">
        <f t="shared" si="0"/>
        <v>2023-08-04</v>
      </c>
    </row>
    <row r="27" spans="1:25" x14ac:dyDescent="0.2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6">
        <v>45146</v>
      </c>
      <c r="Y27" s="1" t="str">
        <f t="shared" si="0"/>
        <v>2023-08-08</v>
      </c>
    </row>
    <row r="28" spans="1:25" x14ac:dyDescent="0.2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6">
        <v>45108</v>
      </c>
      <c r="Y28" s="1" t="str">
        <f t="shared" si="0"/>
        <v>2023-07-01</v>
      </c>
    </row>
    <row r="29" spans="1:25" x14ac:dyDescent="0.2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6">
        <v>45153</v>
      </c>
      <c r="Y29" s="1" t="str">
        <f t="shared" si="0"/>
        <v>2023-08-15</v>
      </c>
    </row>
    <row r="30" spans="1:25" x14ac:dyDescent="0.2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6">
        <v>45150</v>
      </c>
      <c r="Y30" s="1" t="str">
        <f t="shared" si="0"/>
        <v>2023-08-12</v>
      </c>
    </row>
    <row r="31" spans="1:25" x14ac:dyDescent="0.2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6">
        <v>45157</v>
      </c>
      <c r="Y31" s="1" t="str">
        <f t="shared" si="0"/>
        <v>2023-08-19</v>
      </c>
    </row>
    <row r="32" spans="1:25" x14ac:dyDescent="0.2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6">
        <v>45143</v>
      </c>
      <c r="Y32" s="1" t="str">
        <f t="shared" si="0"/>
        <v>2023-08-05</v>
      </c>
    </row>
    <row r="33" spans="1:25" x14ac:dyDescent="0.2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6">
        <v>45166</v>
      </c>
      <c r="Y33" s="1" t="str">
        <f t="shared" si="0"/>
        <v>2023-08-28</v>
      </c>
    </row>
    <row r="34" spans="1:25" x14ac:dyDescent="0.2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6">
        <v>45162</v>
      </c>
      <c r="Y34" s="1" t="str">
        <f t="shared" si="0"/>
        <v>2023-08-24</v>
      </c>
    </row>
    <row r="35" spans="1:25" x14ac:dyDescent="0.2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6">
        <v>45160</v>
      </c>
      <c r="Y35" s="1" t="str">
        <f t="shared" si="0"/>
        <v>2023-08-22</v>
      </c>
    </row>
    <row r="36" spans="1:25" x14ac:dyDescent="0.2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6">
        <v>45179</v>
      </c>
      <c r="Y36" s="1" t="str">
        <f t="shared" si="0"/>
        <v>2023-09-10</v>
      </c>
    </row>
    <row r="37" spans="1:25" x14ac:dyDescent="0.2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6">
        <v>45157</v>
      </c>
      <c r="Y37" s="1" t="str">
        <f t="shared" si="0"/>
        <v>2023-08-19</v>
      </c>
    </row>
    <row r="38" spans="1:25" x14ac:dyDescent="0.2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6">
        <v>45143</v>
      </c>
      <c r="Y38" s="1" t="str">
        <f t="shared" si="0"/>
        <v>2023-08-05</v>
      </c>
    </row>
    <row r="39" spans="1:25" x14ac:dyDescent="0.2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6">
        <v>45166</v>
      </c>
      <c r="Y39" s="1" t="str">
        <f t="shared" si="0"/>
        <v>2023-08-28</v>
      </c>
    </row>
    <row r="40" spans="1:25" x14ac:dyDescent="0.2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6">
        <v>45162</v>
      </c>
      <c r="Y40" s="1" t="str">
        <f t="shared" si="0"/>
        <v>2023-08-24</v>
      </c>
    </row>
    <row r="61" spans="4:8" x14ac:dyDescent="0.2">
      <c r="D61" s="4" t="s">
        <v>47</v>
      </c>
      <c r="E61" s="4" t="s">
        <v>48</v>
      </c>
      <c r="F61" s="4" t="s">
        <v>44</v>
      </c>
      <c r="H61" s="4" t="s">
        <v>176</v>
      </c>
    </row>
    <row r="62" spans="4:8" x14ac:dyDescent="0.2">
      <c r="D62" s="2"/>
      <c r="E62" s="5" t="s">
        <v>160</v>
      </c>
      <c r="F62" s="2"/>
    </row>
    <row r="63" spans="4:8" x14ac:dyDescent="0.2">
      <c r="D63" s="6">
        <v>1</v>
      </c>
      <c r="E63" s="2" t="s">
        <v>107</v>
      </c>
      <c r="F63" s="2" t="s">
        <v>45</v>
      </c>
      <c r="H63" s="1">
        <v>5</v>
      </c>
    </row>
    <row r="64" spans="4:8" x14ac:dyDescent="0.2">
      <c r="D64" s="6">
        <v>2</v>
      </c>
      <c r="E64" s="2" t="s">
        <v>46</v>
      </c>
      <c r="F64" s="2"/>
      <c r="H64" s="1">
        <v>5</v>
      </c>
    </row>
    <row r="65" spans="4:8" x14ac:dyDescent="0.2">
      <c r="D65" s="6">
        <v>3</v>
      </c>
      <c r="E65" s="2" t="s">
        <v>104</v>
      </c>
      <c r="F65" s="34" t="s">
        <v>177</v>
      </c>
      <c r="G65" s="1">
        <f>SUMIF(H2:H40,"&gt;20")</f>
        <v>1473.0000000000002</v>
      </c>
      <c r="H65" s="1">
        <v>10</v>
      </c>
    </row>
    <row r="66" spans="4:8" x14ac:dyDescent="0.2">
      <c r="D66" s="6">
        <v>4</v>
      </c>
      <c r="E66" s="2" t="s">
        <v>106</v>
      </c>
      <c r="F66" s="2"/>
      <c r="H66" s="1">
        <v>5</v>
      </c>
    </row>
    <row r="67" spans="4:8" x14ac:dyDescent="0.2">
      <c r="D67" s="2"/>
      <c r="E67" s="2"/>
      <c r="F67" s="2"/>
    </row>
  </sheetData>
  <conditionalFormatting sqref="A1:A40">
    <cfRule type="duplicateValues" dxfId="1" priority="3"/>
  </conditionalFormatting>
  <conditionalFormatting sqref="B1:B40">
    <cfRule type="duplicateValues" dxfId="0" priority="2"/>
  </conditionalFormatting>
  <conditionalFormatting sqref="J2:L40">
    <cfRule type="colorScale" priority="1">
      <colorScale>
        <cfvo type="num" val="-1"/>
        <cfvo type="num" val="0"/>
        <color rgb="FFC00000"/>
        <color rgb="FF00B050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6" sqref="B6"/>
    </sheetView>
  </sheetViews>
  <sheetFormatPr baseColWidth="10" defaultRowHeight="14" x14ac:dyDescent="0.2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1" customFormat="1" ht="21" x14ac:dyDescent="0.25">
      <c r="A1" s="42" t="s">
        <v>55</v>
      </c>
      <c r="B1" s="41" t="s">
        <v>164</v>
      </c>
    </row>
    <row r="2" spans="1:7" s="41" customFormat="1" ht="21" x14ac:dyDescent="0.25">
      <c r="B2" s="41" t="s">
        <v>161</v>
      </c>
    </row>
    <row r="3" spans="1:7" ht="15" x14ac:dyDescent="0.2">
      <c r="A3" s="1"/>
      <c r="B3" s="1"/>
      <c r="C3" s="1"/>
      <c r="D3" s="1"/>
      <c r="E3" s="1"/>
      <c r="F3" s="1"/>
      <c r="G3" s="1"/>
    </row>
    <row r="4" spans="1:7" ht="24" x14ac:dyDescent="0.3">
      <c r="A4" s="17" t="s">
        <v>162</v>
      </c>
      <c r="B4" s="1"/>
      <c r="C4" s="1"/>
      <c r="D4" s="1"/>
      <c r="E4" s="1"/>
      <c r="F4" s="1"/>
      <c r="G4" s="1"/>
    </row>
    <row r="5" spans="1:7" ht="15" x14ac:dyDescent="0.2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">
      <c r="A6" s="7" t="s">
        <v>40</v>
      </c>
      <c r="B6" s="11"/>
      <c r="C6" s="11"/>
      <c r="D6" s="11"/>
      <c r="E6" s="11"/>
      <c r="F6" s="8"/>
    </row>
    <row r="7" spans="1:7" ht="15" x14ac:dyDescent="0.2">
      <c r="A7" s="7" t="s">
        <v>4</v>
      </c>
      <c r="B7" s="11"/>
      <c r="C7" s="11"/>
      <c r="D7" s="11"/>
      <c r="E7" s="11"/>
      <c r="F7" s="8"/>
    </row>
    <row r="8" spans="1:7" ht="15" x14ac:dyDescent="0.2">
      <c r="A8" s="7" t="s">
        <v>7</v>
      </c>
      <c r="B8" s="11"/>
      <c r="C8" s="11"/>
      <c r="D8" s="11"/>
      <c r="E8" s="11"/>
      <c r="F8" s="8"/>
    </row>
    <row r="9" spans="1:7" ht="15" x14ac:dyDescent="0.2">
      <c r="A9" s="7" t="s">
        <v>8</v>
      </c>
      <c r="B9" s="11"/>
      <c r="C9" s="11"/>
      <c r="D9" s="11"/>
      <c r="E9" s="11"/>
      <c r="F9" s="8"/>
    </row>
    <row r="10" spans="1:7" ht="15" x14ac:dyDescent="0.2">
      <c r="A10" s="7" t="s">
        <v>11</v>
      </c>
      <c r="B10" s="11"/>
      <c r="C10" s="11"/>
      <c r="D10" s="11"/>
      <c r="E10" s="11"/>
      <c r="F10" s="8"/>
    </row>
    <row r="11" spans="1:7" ht="15" x14ac:dyDescent="0.2">
      <c r="A11" s="7" t="s">
        <v>12</v>
      </c>
      <c r="B11" s="11"/>
      <c r="C11" s="11"/>
      <c r="D11" s="11"/>
      <c r="E11" s="11"/>
      <c r="F11" s="8"/>
    </row>
    <row r="12" spans="1:7" ht="15" x14ac:dyDescent="0.2">
      <c r="A12" s="7" t="s">
        <v>14</v>
      </c>
      <c r="B12" s="11"/>
      <c r="C12" s="11"/>
      <c r="D12" s="11"/>
      <c r="E12" s="11"/>
      <c r="F12" s="8"/>
    </row>
    <row r="13" spans="1:7" ht="15" x14ac:dyDescent="0.2">
      <c r="A13" s="7" t="s">
        <v>15</v>
      </c>
      <c r="B13" s="11"/>
      <c r="C13" s="11"/>
      <c r="D13" s="11"/>
      <c r="E13" s="11"/>
      <c r="F13" s="8"/>
    </row>
    <row r="14" spans="1:7" ht="15" x14ac:dyDescent="0.2">
      <c r="A14" s="7" t="s">
        <v>16</v>
      </c>
      <c r="B14" s="11"/>
      <c r="C14" s="11"/>
      <c r="D14" s="11"/>
      <c r="E14" s="11"/>
      <c r="F14" s="8"/>
    </row>
    <row r="15" spans="1:7" ht="15" x14ac:dyDescent="0.2">
      <c r="A15" s="7" t="s">
        <v>18</v>
      </c>
      <c r="B15" s="11"/>
      <c r="C15" s="11"/>
      <c r="D15" s="11"/>
      <c r="E15" s="11"/>
      <c r="F15" s="8"/>
    </row>
    <row r="16" spans="1:7" ht="15" x14ac:dyDescent="0.2">
      <c r="A16" s="7" t="s">
        <v>20</v>
      </c>
      <c r="B16" s="11"/>
      <c r="C16" s="11"/>
      <c r="D16" s="11"/>
      <c r="E16" s="11"/>
      <c r="F16" s="8"/>
    </row>
    <row r="17" spans="1:6" ht="15" x14ac:dyDescent="0.2">
      <c r="A17" s="7" t="s">
        <v>22</v>
      </c>
      <c r="B17" s="11"/>
      <c r="C17" s="11"/>
      <c r="D17" s="11"/>
      <c r="E17" s="11"/>
      <c r="F17" s="8"/>
    </row>
    <row r="18" spans="1:6" ht="15" x14ac:dyDescent="0.2">
      <c r="A18" s="7" t="s">
        <v>23</v>
      </c>
      <c r="B18" s="11"/>
      <c r="C18" s="11"/>
      <c r="D18" s="11"/>
      <c r="E18" s="11"/>
      <c r="F18" s="8"/>
    </row>
    <row r="19" spans="1:6" ht="15" x14ac:dyDescent="0.2">
      <c r="A19" s="7" t="s">
        <v>24</v>
      </c>
      <c r="B19" s="11"/>
      <c r="C19" s="11"/>
      <c r="D19" s="11"/>
      <c r="E19" s="11"/>
      <c r="F19" s="8"/>
    </row>
    <row r="20" spans="1:6" ht="15" x14ac:dyDescent="0.2">
      <c r="A20" s="7" t="s">
        <v>28</v>
      </c>
      <c r="B20" s="11"/>
      <c r="C20" s="11"/>
      <c r="D20" s="11"/>
      <c r="E20" s="11"/>
      <c r="F20" s="8"/>
    </row>
    <row r="21" spans="1:6" ht="15" x14ac:dyDescent="0.2">
      <c r="A21" s="7" t="s">
        <v>57</v>
      </c>
      <c r="B21" s="11"/>
      <c r="C21" s="11"/>
      <c r="D21" s="11"/>
      <c r="E21" s="11"/>
      <c r="F21" s="8"/>
    </row>
    <row r="22" spans="1:6" ht="15" x14ac:dyDescent="0.2">
      <c r="A22" s="7" t="s">
        <v>58</v>
      </c>
      <c r="B22" s="11"/>
      <c r="C22" s="11"/>
      <c r="D22" s="11"/>
      <c r="E22" s="11"/>
      <c r="F22" s="8"/>
    </row>
    <row r="23" spans="1:6" ht="15" x14ac:dyDescent="0.2">
      <c r="A23" s="7" t="s">
        <v>31</v>
      </c>
      <c r="B23" s="11"/>
      <c r="C23" s="11"/>
      <c r="D23" s="11"/>
      <c r="E23" s="11"/>
      <c r="F23" s="8"/>
    </row>
    <row r="24" spans="1:6" ht="15" x14ac:dyDescent="0.2">
      <c r="A24" s="7" t="s">
        <v>32</v>
      </c>
      <c r="B24" s="11"/>
      <c r="C24" s="11"/>
      <c r="D24" s="11"/>
      <c r="E24" s="11"/>
      <c r="F24" s="8"/>
    </row>
    <row r="25" spans="1:6" ht="15" x14ac:dyDescent="0.2">
      <c r="A25" s="7" t="s">
        <v>34</v>
      </c>
      <c r="B25" s="11"/>
      <c r="C25" s="11"/>
      <c r="D25" s="11"/>
      <c r="E25" s="11"/>
      <c r="F25" s="8"/>
    </row>
    <row r="26" spans="1:6" ht="15" x14ac:dyDescent="0.2">
      <c r="A26" s="7" t="s">
        <v>37</v>
      </c>
      <c r="B26" s="11"/>
      <c r="C26" s="11"/>
      <c r="D26" s="11"/>
      <c r="E26" s="11"/>
      <c r="F26" s="8"/>
    </row>
    <row r="27" spans="1:6" ht="15" x14ac:dyDescent="0.2">
      <c r="A27" s="7" t="s">
        <v>39</v>
      </c>
      <c r="B27" s="11"/>
      <c r="C27" s="11"/>
      <c r="D27" s="11"/>
      <c r="E27" s="11"/>
      <c r="F27" s="8"/>
    </row>
    <row r="28" spans="1:6" ht="15" x14ac:dyDescent="0.2">
      <c r="A28" s="18" t="s">
        <v>82</v>
      </c>
      <c r="B28" s="31"/>
      <c r="C28" s="31"/>
      <c r="D28" s="31"/>
      <c r="E28" s="31"/>
      <c r="F28" s="31"/>
    </row>
    <row r="29" spans="1:6" ht="15" x14ac:dyDescent="0.2">
      <c r="A29" s="18" t="s">
        <v>83</v>
      </c>
      <c r="B29" s="31"/>
      <c r="C29" s="31"/>
      <c r="D29" s="31"/>
      <c r="E29" s="31"/>
      <c r="F29" s="31"/>
    </row>
    <row r="30" spans="1:6" ht="15" x14ac:dyDescent="0.2">
      <c r="A30" s="18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6" sqref="B6"/>
    </sheetView>
  </sheetViews>
  <sheetFormatPr baseColWidth="10" defaultRowHeight="15" x14ac:dyDescent="0.2"/>
  <cols>
    <col min="1" max="1" width="39.796875" style="1" bestFit="1" customWidth="1"/>
    <col min="2" max="16384" width="11" style="1"/>
  </cols>
  <sheetData>
    <row r="1" spans="1:10" s="41" customFormat="1" ht="21" x14ac:dyDescent="0.25">
      <c r="A1" s="42" t="s">
        <v>56</v>
      </c>
      <c r="B1" s="41" t="s">
        <v>174</v>
      </c>
    </row>
    <row r="2" spans="1:10" customFormat="1" ht="13" x14ac:dyDescent="0.15"/>
    <row r="3" spans="1:10" s="2" customFormat="1" x14ac:dyDescent="0.2">
      <c r="B3" s="1"/>
    </row>
    <row r="4" spans="1:10" s="2" customFormat="1" x14ac:dyDescent="0.2">
      <c r="B4" s="1" t="s">
        <v>151</v>
      </c>
    </row>
    <row r="5" spans="1:10" ht="19" x14ac:dyDescent="0.25">
      <c r="A5" s="43" t="s">
        <v>53</v>
      </c>
      <c r="B5" s="40" t="s">
        <v>179</v>
      </c>
    </row>
    <row r="6" spans="1:10" ht="19" x14ac:dyDescent="0.25">
      <c r="A6" s="43" t="s">
        <v>153</v>
      </c>
      <c r="B6" s="40" t="s">
        <v>180</v>
      </c>
    </row>
    <row r="7" spans="1:10" ht="19" x14ac:dyDescent="0.25">
      <c r="A7" s="43"/>
      <c r="B7" s="40"/>
    </row>
    <row r="9" spans="1:10" ht="24" x14ac:dyDescent="0.3">
      <c r="A9" s="17" t="s">
        <v>165</v>
      </c>
      <c r="I9" s="2"/>
      <c r="J9" s="2"/>
    </row>
    <row r="10" spans="1:10" x14ac:dyDescent="0.2">
      <c r="A10" s="33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4" x14ac:dyDescent="0.3">
      <c r="A14" s="17" t="s">
        <v>162</v>
      </c>
    </row>
    <row r="15" spans="1:10" x14ac:dyDescent="0.2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">
      <c r="A17" s="7" t="s">
        <v>122</v>
      </c>
      <c r="B17" s="11">
        <v>20002</v>
      </c>
      <c r="C17" s="1" t="s">
        <v>5</v>
      </c>
      <c r="D17" s="11">
        <v>0</v>
      </c>
      <c r="E17" s="1" t="str">
        <f>REPT("Sunday",COLUMNS(E18:E53))</f>
        <v>Sunday</v>
      </c>
      <c r="F17" s="11">
        <v>24</v>
      </c>
    </row>
    <row r="18" spans="1:6" x14ac:dyDescent="0.2">
      <c r="A18" s="7" t="s">
        <v>123</v>
      </c>
      <c r="B18" s="11">
        <v>20003</v>
      </c>
      <c r="C18" s="1" t="str">
        <f>REPT("Monday",COLUMNS(C19:C54))</f>
        <v>Monday</v>
      </c>
      <c r="D18" s="11">
        <v>0</v>
      </c>
      <c r="E18" s="1" t="str">
        <f t="shared" ref="E18:E54" si="0">REPT("Sunday",COLUMNS(E19:E54))</f>
        <v>Sunday</v>
      </c>
      <c r="F18" s="11">
        <v>24</v>
      </c>
    </row>
    <row r="19" spans="1:6" x14ac:dyDescent="0.2">
      <c r="A19" s="7" t="s">
        <v>124</v>
      </c>
      <c r="B19" s="11">
        <v>20004</v>
      </c>
      <c r="C19" s="1" t="str">
        <f t="shared" ref="C19:C53" si="1">REPT("Monday",COLUMNS(C20:C55))</f>
        <v>Monday</v>
      </c>
      <c r="D19" s="11">
        <v>0</v>
      </c>
      <c r="E19" s="1" t="str">
        <f t="shared" si="0"/>
        <v>Sunday</v>
      </c>
      <c r="F19" s="11">
        <v>24</v>
      </c>
    </row>
    <row r="20" spans="1:6" x14ac:dyDescent="0.2">
      <c r="A20" s="7" t="s">
        <v>125</v>
      </c>
      <c r="B20" s="11">
        <v>20005</v>
      </c>
      <c r="C20" s="1" t="str">
        <f t="shared" si="1"/>
        <v>Monday</v>
      </c>
      <c r="D20" s="11">
        <v>0</v>
      </c>
      <c r="E20" s="1" t="str">
        <f t="shared" si="0"/>
        <v>Sunday</v>
      </c>
      <c r="F20" s="11">
        <v>24</v>
      </c>
    </row>
    <row r="21" spans="1:6" x14ac:dyDescent="0.2">
      <c r="A21" s="7" t="s">
        <v>126</v>
      </c>
      <c r="B21" s="11">
        <v>20006</v>
      </c>
      <c r="C21" s="1" t="str">
        <f t="shared" si="1"/>
        <v>Monday</v>
      </c>
      <c r="D21" s="11">
        <v>0</v>
      </c>
      <c r="E21" s="1" t="str">
        <f t="shared" si="0"/>
        <v>Sunday</v>
      </c>
      <c r="F21" s="11">
        <v>24</v>
      </c>
    </row>
    <row r="22" spans="1:6" x14ac:dyDescent="0.2">
      <c r="A22" s="7" t="s">
        <v>127</v>
      </c>
      <c r="B22" s="11">
        <v>20007</v>
      </c>
      <c r="C22" s="1" t="str">
        <f t="shared" si="1"/>
        <v>Monday</v>
      </c>
      <c r="D22" s="11">
        <v>0</v>
      </c>
      <c r="E22" s="1" t="str">
        <f t="shared" si="0"/>
        <v>Sunday</v>
      </c>
      <c r="F22" s="11">
        <v>24</v>
      </c>
    </row>
    <row r="23" spans="1:6" x14ac:dyDescent="0.2">
      <c r="A23" s="7" t="s">
        <v>128</v>
      </c>
      <c r="B23" s="11">
        <v>20008</v>
      </c>
      <c r="C23" s="1" t="str">
        <f t="shared" si="1"/>
        <v>Monday</v>
      </c>
      <c r="D23" s="11">
        <v>0</v>
      </c>
      <c r="E23" s="1" t="str">
        <f t="shared" si="0"/>
        <v>Sunday</v>
      </c>
      <c r="F23" s="11">
        <v>24</v>
      </c>
    </row>
    <row r="24" spans="1:6" x14ac:dyDescent="0.2">
      <c r="A24" s="7" t="s">
        <v>129</v>
      </c>
      <c r="B24" s="11">
        <v>20009</v>
      </c>
      <c r="C24" s="1" t="str">
        <f t="shared" si="1"/>
        <v>Monday</v>
      </c>
      <c r="D24" s="11">
        <v>0</v>
      </c>
      <c r="E24" s="1" t="str">
        <f t="shared" si="0"/>
        <v>Sunday</v>
      </c>
      <c r="F24" s="11">
        <v>24</v>
      </c>
    </row>
    <row r="25" spans="1:6" x14ac:dyDescent="0.2">
      <c r="A25" s="7" t="s">
        <v>130</v>
      </c>
      <c r="B25" s="11">
        <v>20010</v>
      </c>
      <c r="C25" s="1" t="str">
        <f t="shared" si="1"/>
        <v>Monday</v>
      </c>
      <c r="D25" s="11">
        <v>0</v>
      </c>
      <c r="E25" s="1" t="str">
        <f t="shared" si="0"/>
        <v>Sunday</v>
      </c>
      <c r="F25" s="11">
        <v>24</v>
      </c>
    </row>
    <row r="26" spans="1:6" x14ac:dyDescent="0.2">
      <c r="A26" s="7" t="s">
        <v>131</v>
      </c>
      <c r="B26" s="11">
        <v>20011</v>
      </c>
      <c r="C26" s="1" t="str">
        <f t="shared" si="1"/>
        <v>Monday</v>
      </c>
      <c r="D26" s="11">
        <v>0</v>
      </c>
      <c r="E26" s="1" t="str">
        <f t="shared" si="0"/>
        <v>Sunday</v>
      </c>
      <c r="F26" s="11">
        <v>24</v>
      </c>
    </row>
    <row r="27" spans="1:6" x14ac:dyDescent="0.2">
      <c r="A27" s="7" t="s">
        <v>132</v>
      </c>
      <c r="B27" s="11">
        <v>20012</v>
      </c>
      <c r="C27" s="1" t="str">
        <f t="shared" si="1"/>
        <v>Monday</v>
      </c>
      <c r="D27" s="11">
        <v>0</v>
      </c>
      <c r="E27" s="1" t="str">
        <f t="shared" si="0"/>
        <v>Sunday</v>
      </c>
      <c r="F27" s="11">
        <v>24</v>
      </c>
    </row>
    <row r="28" spans="1:6" x14ac:dyDescent="0.2">
      <c r="A28" s="7" t="s">
        <v>133</v>
      </c>
      <c r="B28" s="11">
        <v>20013</v>
      </c>
      <c r="C28" s="1" t="str">
        <f t="shared" si="1"/>
        <v>Monday</v>
      </c>
      <c r="D28" s="11">
        <v>0</v>
      </c>
      <c r="E28" s="1" t="str">
        <f t="shared" si="0"/>
        <v>Sunday</v>
      </c>
      <c r="F28" s="11">
        <v>24</v>
      </c>
    </row>
    <row r="29" spans="1:6" x14ac:dyDescent="0.2">
      <c r="A29" s="7" t="s">
        <v>134</v>
      </c>
      <c r="B29" s="11">
        <v>20014</v>
      </c>
      <c r="C29" s="1" t="str">
        <f t="shared" si="1"/>
        <v>Monday</v>
      </c>
      <c r="D29" s="11">
        <v>0</v>
      </c>
      <c r="E29" s="1" t="str">
        <f t="shared" si="0"/>
        <v>Sunday</v>
      </c>
      <c r="F29" s="11">
        <v>24</v>
      </c>
    </row>
    <row r="30" spans="1:6" x14ac:dyDescent="0.2">
      <c r="A30" s="7" t="s">
        <v>135</v>
      </c>
      <c r="B30" s="11">
        <v>20015</v>
      </c>
      <c r="C30" s="1" t="str">
        <f t="shared" si="1"/>
        <v>Monday</v>
      </c>
      <c r="D30" s="11">
        <v>0</v>
      </c>
      <c r="E30" s="1" t="str">
        <f t="shared" si="0"/>
        <v>Sunday</v>
      </c>
      <c r="F30" s="11">
        <v>24</v>
      </c>
    </row>
    <row r="31" spans="1:6" x14ac:dyDescent="0.2">
      <c r="A31" s="7" t="s">
        <v>136</v>
      </c>
      <c r="B31" s="11">
        <v>20016</v>
      </c>
      <c r="C31" s="1" t="str">
        <f t="shared" si="1"/>
        <v>Monday</v>
      </c>
      <c r="D31" s="11">
        <v>0</v>
      </c>
      <c r="E31" s="1" t="str">
        <f t="shared" si="0"/>
        <v>Sunday</v>
      </c>
      <c r="F31" s="11">
        <v>24</v>
      </c>
    </row>
    <row r="32" spans="1:6" x14ac:dyDescent="0.2">
      <c r="A32" s="7" t="s">
        <v>137</v>
      </c>
      <c r="B32" s="11">
        <v>20017</v>
      </c>
      <c r="C32" s="1" t="str">
        <f t="shared" si="1"/>
        <v>Monday</v>
      </c>
      <c r="D32" s="11">
        <v>0</v>
      </c>
      <c r="E32" s="1" t="str">
        <f t="shared" si="0"/>
        <v>Sunday</v>
      </c>
      <c r="F32" s="11">
        <v>24</v>
      </c>
    </row>
    <row r="33" spans="1:6" x14ac:dyDescent="0.2">
      <c r="A33" s="7" t="s">
        <v>138</v>
      </c>
      <c r="B33" s="11">
        <v>20018</v>
      </c>
      <c r="C33" s="1" t="str">
        <f t="shared" si="1"/>
        <v>Monday</v>
      </c>
      <c r="D33" s="11">
        <v>0</v>
      </c>
      <c r="E33" s="1" t="str">
        <f t="shared" si="0"/>
        <v>Sunday</v>
      </c>
      <c r="F33" s="11">
        <v>24</v>
      </c>
    </row>
    <row r="34" spans="1:6" x14ac:dyDescent="0.2">
      <c r="A34" s="7" t="s">
        <v>139</v>
      </c>
      <c r="B34" s="11">
        <v>20019</v>
      </c>
      <c r="C34" s="1" t="str">
        <f t="shared" si="1"/>
        <v>Monday</v>
      </c>
      <c r="D34" s="11">
        <v>0</v>
      </c>
      <c r="E34" s="1" t="str">
        <f t="shared" si="0"/>
        <v>Sunday</v>
      </c>
      <c r="F34" s="11">
        <v>24</v>
      </c>
    </row>
    <row r="35" spans="1:6" x14ac:dyDescent="0.2">
      <c r="A35" s="7" t="s">
        <v>140</v>
      </c>
      <c r="B35" s="11">
        <v>20020</v>
      </c>
      <c r="C35" s="1" t="str">
        <f t="shared" si="1"/>
        <v>Monday</v>
      </c>
      <c r="D35" s="11">
        <v>0</v>
      </c>
      <c r="E35" s="1" t="str">
        <f t="shared" si="0"/>
        <v>Sunday</v>
      </c>
      <c r="F35" s="11">
        <v>24</v>
      </c>
    </row>
    <row r="36" spans="1:6" x14ac:dyDescent="0.2">
      <c r="A36" s="7" t="s">
        <v>141</v>
      </c>
      <c r="B36" s="11">
        <v>20021</v>
      </c>
      <c r="C36" s="1" t="str">
        <f t="shared" si="1"/>
        <v>Monday</v>
      </c>
      <c r="D36" s="11">
        <v>0</v>
      </c>
      <c r="E36" s="1" t="str">
        <f t="shared" si="0"/>
        <v>Sunday</v>
      </c>
      <c r="F36" s="11">
        <v>24</v>
      </c>
    </row>
    <row r="37" spans="1:6" x14ac:dyDescent="0.2">
      <c r="A37" s="7" t="s">
        <v>142</v>
      </c>
      <c r="B37" s="11">
        <v>20022</v>
      </c>
      <c r="C37" s="1" t="str">
        <f t="shared" si="1"/>
        <v>Monday</v>
      </c>
      <c r="D37" s="11">
        <v>0</v>
      </c>
      <c r="E37" s="1" t="str">
        <f t="shared" si="0"/>
        <v>Sunday</v>
      </c>
      <c r="F37" s="11">
        <v>24</v>
      </c>
    </row>
    <row r="38" spans="1:6" x14ac:dyDescent="0.2">
      <c r="A38" s="7" t="s">
        <v>143</v>
      </c>
      <c r="B38" s="11">
        <v>20023</v>
      </c>
      <c r="C38" s="1" t="str">
        <f t="shared" si="1"/>
        <v>Monday</v>
      </c>
      <c r="D38" s="11">
        <v>0</v>
      </c>
      <c r="E38" s="1" t="str">
        <f t="shared" si="0"/>
        <v>Sunday</v>
      </c>
      <c r="F38" s="11">
        <v>24</v>
      </c>
    </row>
    <row r="39" spans="1:6" x14ac:dyDescent="0.2">
      <c r="A39" s="7" t="s">
        <v>144</v>
      </c>
      <c r="B39" s="11">
        <v>20024</v>
      </c>
      <c r="C39" s="1" t="str">
        <f t="shared" si="1"/>
        <v>Monday</v>
      </c>
      <c r="D39" s="11">
        <v>0</v>
      </c>
      <c r="E39" s="1" t="str">
        <f t="shared" si="0"/>
        <v>Sunday</v>
      </c>
      <c r="F39" s="11">
        <v>24</v>
      </c>
    </row>
    <row r="40" spans="1:6" x14ac:dyDescent="0.2">
      <c r="A40" s="7" t="s">
        <v>145</v>
      </c>
      <c r="B40" s="11">
        <v>20025</v>
      </c>
      <c r="C40" s="1" t="str">
        <f t="shared" si="1"/>
        <v>Monday</v>
      </c>
      <c r="D40" s="11">
        <v>0</v>
      </c>
      <c r="E40" s="1" t="str">
        <f t="shared" si="0"/>
        <v>Sunday</v>
      </c>
      <c r="F40" s="11">
        <v>24</v>
      </c>
    </row>
    <row r="41" spans="1:6" x14ac:dyDescent="0.2">
      <c r="A41" s="7" t="s">
        <v>146</v>
      </c>
      <c r="B41" s="11">
        <v>20026</v>
      </c>
      <c r="C41" s="1" t="str">
        <f t="shared" si="1"/>
        <v>Monday</v>
      </c>
      <c r="D41" s="11">
        <v>0</v>
      </c>
      <c r="E41" s="1" t="str">
        <f t="shared" si="0"/>
        <v>Sunday</v>
      </c>
      <c r="F41" s="11">
        <v>24</v>
      </c>
    </row>
    <row r="42" spans="1:6" x14ac:dyDescent="0.2">
      <c r="A42" s="7" t="s">
        <v>147</v>
      </c>
      <c r="B42" s="11">
        <v>20027</v>
      </c>
      <c r="C42" s="1" t="str">
        <f t="shared" si="1"/>
        <v>Monday</v>
      </c>
      <c r="D42" s="11">
        <v>0</v>
      </c>
      <c r="E42" s="1" t="str">
        <f t="shared" si="0"/>
        <v>Sunday</v>
      </c>
      <c r="F42" s="11">
        <v>24</v>
      </c>
    </row>
    <row r="43" spans="1:6" x14ac:dyDescent="0.2">
      <c r="A43" s="7" t="s">
        <v>148</v>
      </c>
      <c r="B43" s="11">
        <v>20028</v>
      </c>
      <c r="C43" s="1" t="str">
        <f t="shared" si="1"/>
        <v>Monday</v>
      </c>
      <c r="D43" s="11">
        <v>0</v>
      </c>
      <c r="E43" s="1" t="str">
        <f t="shared" si="0"/>
        <v>Sunday</v>
      </c>
      <c r="F43" s="11">
        <v>24</v>
      </c>
    </row>
    <row r="44" spans="1:6" x14ac:dyDescent="0.2">
      <c r="A44" s="7" t="s">
        <v>149</v>
      </c>
      <c r="B44" s="11">
        <v>20029</v>
      </c>
      <c r="C44" s="1" t="str">
        <f t="shared" si="1"/>
        <v>Monday</v>
      </c>
      <c r="D44" s="11">
        <v>0</v>
      </c>
      <c r="E44" s="1" t="str">
        <f t="shared" si="0"/>
        <v>Sunday</v>
      </c>
      <c r="F44" s="11">
        <v>24</v>
      </c>
    </row>
    <row r="45" spans="1:6" x14ac:dyDescent="0.2">
      <c r="A45" s="7" t="s">
        <v>150</v>
      </c>
      <c r="B45" s="11">
        <v>20030</v>
      </c>
      <c r="C45" s="1" t="str">
        <f t="shared" si="1"/>
        <v>Monday</v>
      </c>
      <c r="D45" s="11">
        <v>0</v>
      </c>
      <c r="E45" s="1" t="str">
        <f t="shared" si="0"/>
        <v>Sunday</v>
      </c>
      <c r="F45" s="11">
        <v>24</v>
      </c>
    </row>
    <row r="46" spans="1:6" x14ac:dyDescent="0.2">
      <c r="A46" s="7" t="s">
        <v>112</v>
      </c>
      <c r="B46" s="11">
        <v>20031</v>
      </c>
      <c r="C46" s="1" t="str">
        <f t="shared" si="1"/>
        <v>Monday</v>
      </c>
      <c r="D46" s="11">
        <v>0</v>
      </c>
      <c r="E46" s="1" t="str">
        <f t="shared" si="0"/>
        <v>Sunday</v>
      </c>
      <c r="F46" s="11">
        <v>24</v>
      </c>
    </row>
    <row r="47" spans="1:6" x14ac:dyDescent="0.2">
      <c r="A47" s="7" t="s">
        <v>113</v>
      </c>
      <c r="B47" s="11">
        <v>20032</v>
      </c>
      <c r="C47" s="1" t="str">
        <f t="shared" si="1"/>
        <v>Monday</v>
      </c>
      <c r="D47" s="11">
        <v>0</v>
      </c>
      <c r="E47" s="1" t="str">
        <f t="shared" si="0"/>
        <v>Sunday</v>
      </c>
      <c r="F47" s="11">
        <v>24</v>
      </c>
    </row>
    <row r="48" spans="1:6" x14ac:dyDescent="0.2">
      <c r="A48" s="7" t="s">
        <v>114</v>
      </c>
      <c r="B48" s="11">
        <v>20033</v>
      </c>
      <c r="C48" s="1" t="str">
        <f t="shared" si="1"/>
        <v>Monday</v>
      </c>
      <c r="D48" s="11">
        <v>0</v>
      </c>
      <c r="E48" s="1" t="str">
        <f t="shared" si="0"/>
        <v>Sunday</v>
      </c>
      <c r="F48" s="11">
        <v>24</v>
      </c>
    </row>
    <row r="49" spans="1:6" x14ac:dyDescent="0.2">
      <c r="A49" s="7" t="s">
        <v>115</v>
      </c>
      <c r="B49" s="11">
        <v>20034</v>
      </c>
      <c r="C49" s="1" t="str">
        <f t="shared" si="1"/>
        <v>Monday</v>
      </c>
      <c r="D49" s="11">
        <v>0</v>
      </c>
      <c r="E49" s="1" t="str">
        <f t="shared" si="0"/>
        <v>Sunday</v>
      </c>
      <c r="F49" s="11">
        <v>24</v>
      </c>
    </row>
    <row r="50" spans="1:6" x14ac:dyDescent="0.2">
      <c r="A50" s="7" t="s">
        <v>116</v>
      </c>
      <c r="B50" s="11">
        <v>20035</v>
      </c>
      <c r="C50" s="1" t="str">
        <f t="shared" si="1"/>
        <v>Monday</v>
      </c>
      <c r="D50" s="11">
        <v>0</v>
      </c>
      <c r="E50" s="1" t="str">
        <f t="shared" si="0"/>
        <v>Sunday</v>
      </c>
      <c r="F50" s="11">
        <v>24</v>
      </c>
    </row>
    <row r="51" spans="1:6" x14ac:dyDescent="0.2">
      <c r="A51" s="7" t="s">
        <v>117</v>
      </c>
      <c r="B51" s="11">
        <v>20036</v>
      </c>
      <c r="C51" s="1" t="str">
        <f t="shared" si="1"/>
        <v>Monday</v>
      </c>
      <c r="D51" s="11">
        <v>0</v>
      </c>
      <c r="E51" s="1" t="str">
        <f t="shared" si="0"/>
        <v>Sunday</v>
      </c>
      <c r="F51" s="11">
        <v>24</v>
      </c>
    </row>
    <row r="52" spans="1:6" x14ac:dyDescent="0.2">
      <c r="A52" s="7" t="s">
        <v>118</v>
      </c>
      <c r="B52" s="11">
        <v>20037</v>
      </c>
      <c r="C52" s="1" t="str">
        <f t="shared" si="1"/>
        <v>Monday</v>
      </c>
      <c r="D52" s="11">
        <v>0</v>
      </c>
      <c r="E52" s="1" t="str">
        <f t="shared" si="0"/>
        <v>Sunday</v>
      </c>
      <c r="F52" s="11">
        <v>24</v>
      </c>
    </row>
    <row r="53" spans="1:6" x14ac:dyDescent="0.2">
      <c r="A53" s="7" t="s">
        <v>119</v>
      </c>
      <c r="B53" s="11">
        <v>20038</v>
      </c>
      <c r="C53" s="1" t="str">
        <f t="shared" si="1"/>
        <v>Monday</v>
      </c>
      <c r="D53" s="11">
        <v>0</v>
      </c>
      <c r="E53" s="1" t="str">
        <f t="shared" si="0"/>
        <v>Sunday</v>
      </c>
      <c r="F53" s="11">
        <v>24</v>
      </c>
    </row>
    <row r="54" spans="1:6" x14ac:dyDescent="0.2">
      <c r="A54" s="9" t="s">
        <v>120</v>
      </c>
      <c r="B54" s="11">
        <v>20039</v>
      </c>
      <c r="C54" s="1" t="s">
        <v>178</v>
      </c>
      <c r="D54" s="11">
        <v>0</v>
      </c>
      <c r="E54" s="1" t="str">
        <f t="shared" si="0"/>
        <v>Sunday</v>
      </c>
      <c r="F54" s="11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23" sqref="C23"/>
    </sheetView>
  </sheetViews>
  <sheetFormatPr baseColWidth="10" defaultRowHeight="14" x14ac:dyDescent="0.2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25">
      <c r="A1" s="42" t="s">
        <v>85</v>
      </c>
      <c r="B1" s="41" t="s">
        <v>167</v>
      </c>
    </row>
    <row r="2" spans="1:3" ht="19" x14ac:dyDescent="0.25">
      <c r="B2" s="40" t="s">
        <v>166</v>
      </c>
    </row>
    <row r="5" spans="1:3" ht="15" x14ac:dyDescent="0.2">
      <c r="B5" s="1" t="s">
        <v>151</v>
      </c>
    </row>
    <row r="6" spans="1:3" ht="15" x14ac:dyDescent="0.2">
      <c r="A6" s="3" t="s">
        <v>53</v>
      </c>
      <c r="B6" s="1"/>
    </row>
    <row r="7" spans="1:3" ht="15" x14ac:dyDescent="0.2">
      <c r="A7" s="3" t="s">
        <v>153</v>
      </c>
      <c r="B7" s="1"/>
    </row>
    <row r="10" spans="1:3" ht="24" x14ac:dyDescent="0.3">
      <c r="A10" s="17" t="s">
        <v>162</v>
      </c>
    </row>
    <row r="11" spans="1:3" ht="15" x14ac:dyDescent="0.2">
      <c r="A11" s="32" t="s">
        <v>86</v>
      </c>
      <c r="B11" s="16" t="s">
        <v>87</v>
      </c>
      <c r="C11" s="16" t="s">
        <v>88</v>
      </c>
    </row>
    <row r="12" spans="1:3" ht="15" x14ac:dyDescent="0.2">
      <c r="A12" s="32">
        <v>44927</v>
      </c>
      <c r="B12" s="16" t="s">
        <v>59</v>
      </c>
      <c r="C12" s="16">
        <v>200</v>
      </c>
    </row>
    <row r="13" spans="1:3" ht="15" x14ac:dyDescent="0.2">
      <c r="A13" s="32">
        <v>44928</v>
      </c>
      <c r="B13" s="16" t="s">
        <v>60</v>
      </c>
      <c r="C13" s="16">
        <v>20</v>
      </c>
    </row>
    <row r="14" spans="1:3" ht="15" x14ac:dyDescent="0.2">
      <c r="A14" s="32">
        <v>44929</v>
      </c>
      <c r="B14" s="16" t="s">
        <v>61</v>
      </c>
      <c r="C14" s="16">
        <v>50</v>
      </c>
    </row>
    <row r="15" spans="1:3" ht="15" x14ac:dyDescent="0.2">
      <c r="A15" s="32">
        <v>44930</v>
      </c>
      <c r="B15" s="16" t="s">
        <v>62</v>
      </c>
      <c r="C15" s="16">
        <v>20</v>
      </c>
    </row>
    <row r="16" spans="1:3" ht="15" x14ac:dyDescent="0.2">
      <c r="A16" s="32">
        <v>44931</v>
      </c>
      <c r="B16" s="16" t="s">
        <v>63</v>
      </c>
      <c r="C16" s="16">
        <v>10</v>
      </c>
    </row>
    <row r="17" spans="1:3" ht="15" x14ac:dyDescent="0.2">
      <c r="A17" s="32">
        <v>44932</v>
      </c>
      <c r="B17" s="16" t="s">
        <v>154</v>
      </c>
      <c r="C17" s="16">
        <v>150</v>
      </c>
    </row>
    <row r="18" spans="1:3" ht="15" x14ac:dyDescent="0.2">
      <c r="A18" s="32">
        <v>44933</v>
      </c>
      <c r="B18" s="16" t="s">
        <v>155</v>
      </c>
      <c r="C18" s="16">
        <v>80</v>
      </c>
    </row>
    <row r="19" spans="1:3" ht="15" x14ac:dyDescent="0.2">
      <c r="A19" s="32">
        <v>44934</v>
      </c>
      <c r="B19" s="16" t="s">
        <v>156</v>
      </c>
      <c r="C19" s="16">
        <v>20</v>
      </c>
    </row>
    <row r="20" spans="1:3" ht="15" x14ac:dyDescent="0.2">
      <c r="A20" s="32">
        <v>44935</v>
      </c>
      <c r="B20" s="16" t="s">
        <v>157</v>
      </c>
      <c r="C20" s="16">
        <v>30</v>
      </c>
    </row>
    <row r="21" spans="1:3" ht="15" x14ac:dyDescent="0.2">
      <c r="A21" s="32">
        <v>44936</v>
      </c>
      <c r="B21" s="16" t="s">
        <v>158</v>
      </c>
      <c r="C21" s="16">
        <v>20</v>
      </c>
    </row>
    <row r="22" spans="1:3" ht="15" x14ac:dyDescent="0.2">
      <c r="B22" s="16" t="s">
        <v>159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C35" sqref="C35"/>
    </sheetView>
  </sheetViews>
  <sheetFormatPr baseColWidth="10" defaultRowHeight="14" x14ac:dyDescent="0.2"/>
  <cols>
    <col min="1" max="1" width="28.19921875" style="2" bestFit="1" customWidth="1"/>
    <col min="2" max="16384" width="11" style="2"/>
  </cols>
  <sheetData>
    <row r="1" spans="1:14" ht="21" x14ac:dyDescent="0.25">
      <c r="A1" s="42" t="s">
        <v>98</v>
      </c>
      <c r="B1" s="41" t="s">
        <v>175</v>
      </c>
    </row>
    <row r="3" spans="1:14" ht="15" x14ac:dyDescent="0.2">
      <c r="B3" s="1" t="s">
        <v>151</v>
      </c>
    </row>
    <row r="4" spans="1:14" ht="19" x14ac:dyDescent="0.25">
      <c r="A4" s="43" t="s">
        <v>53</v>
      </c>
      <c r="B4" s="1"/>
    </row>
    <row r="5" spans="1:14" ht="19" x14ac:dyDescent="0.25">
      <c r="A5" s="43" t="s">
        <v>153</v>
      </c>
      <c r="B5" s="1"/>
    </row>
    <row r="6" spans="1:14" ht="15" x14ac:dyDescent="0.2">
      <c r="A6" s="3"/>
      <c r="B6" s="1"/>
    </row>
    <row r="8" spans="1:14" ht="24" x14ac:dyDescent="0.3">
      <c r="A8" s="17" t="s">
        <v>162</v>
      </c>
      <c r="M8" s="17" t="s">
        <v>163</v>
      </c>
    </row>
    <row r="9" spans="1:14" ht="15" x14ac:dyDescent="0.2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4" x14ac:dyDescent="0.3">
      <c r="A21" s="17" t="s">
        <v>168</v>
      </c>
    </row>
    <row r="22" spans="1:14" ht="15" x14ac:dyDescent="0.2">
      <c r="A22" s="13" t="s">
        <v>100</v>
      </c>
      <c r="B22" s="16" t="s">
        <v>101</v>
      </c>
      <c r="C22" s="15" t="s">
        <v>102</v>
      </c>
    </row>
    <row r="23" spans="1:14" ht="15" x14ac:dyDescent="0.2">
      <c r="A23" s="7">
        <v>10100</v>
      </c>
      <c r="B23" s="11">
        <v>10102</v>
      </c>
      <c r="C23" s="44">
        <f>IFERROR(B10,C11)</f>
        <v>-1</v>
      </c>
    </row>
    <row r="24" spans="1:14" ht="15" x14ac:dyDescent="0.2">
      <c r="A24" s="7">
        <v>10100</v>
      </c>
      <c r="B24" s="11">
        <v>10104</v>
      </c>
      <c r="C24" s="44">
        <f>IFERROR(B10,D12)</f>
        <v>-1</v>
      </c>
    </row>
    <row r="25" spans="1:14" ht="15" x14ac:dyDescent="0.2">
      <c r="A25" s="7">
        <v>10108</v>
      </c>
      <c r="B25" s="11">
        <v>10102</v>
      </c>
      <c r="C25" s="44">
        <f>IFERROR(B12,C12)</f>
        <v>-1</v>
      </c>
    </row>
    <row r="26" spans="1:14" ht="15" x14ac:dyDescent="0.2">
      <c r="A26" s="7">
        <v>10100</v>
      </c>
      <c r="B26" s="11">
        <v>10106</v>
      </c>
      <c r="C26" s="44">
        <f>IFERROR(B10,E13)</f>
        <v>-1</v>
      </c>
    </row>
    <row r="27" spans="1:14" ht="15" x14ac:dyDescent="0.2">
      <c r="A27" s="7">
        <v>10108</v>
      </c>
      <c r="B27" s="11">
        <v>10110</v>
      </c>
      <c r="C27" s="44">
        <f>IFERROR(F14,G15)</f>
        <v>-1</v>
      </c>
    </row>
    <row r="28" spans="1:14" ht="15" x14ac:dyDescent="0.2">
      <c r="A28" s="7">
        <v>10102</v>
      </c>
      <c r="B28" s="11">
        <v>10104</v>
      </c>
      <c r="C28" s="44">
        <f>IFERROR(C11,D12)</f>
        <v>-1</v>
      </c>
    </row>
    <row r="29" spans="1:14" ht="15" x14ac:dyDescent="0.2">
      <c r="A29" s="7">
        <v>10106</v>
      </c>
      <c r="B29" s="11">
        <v>10108</v>
      </c>
      <c r="C29" s="44">
        <f>IFERROR(E13,F14)</f>
        <v>-1</v>
      </c>
    </row>
    <row r="30" spans="1:14" ht="15" x14ac:dyDescent="0.2">
      <c r="A30" s="7">
        <v>10102</v>
      </c>
      <c r="B30" s="11">
        <v>10106</v>
      </c>
      <c r="C30" s="44">
        <f>IFERROR(C11,E13)</f>
        <v>-1</v>
      </c>
    </row>
    <row r="31" spans="1:14" ht="15" x14ac:dyDescent="0.2">
      <c r="A31" s="7">
        <v>10110</v>
      </c>
      <c r="B31" s="11">
        <v>10114</v>
      </c>
      <c r="C31" s="44">
        <f>IFERROR(G15,I17)</f>
        <v>-1</v>
      </c>
    </row>
    <row r="32" spans="1:14" ht="15" x14ac:dyDescent="0.2">
      <c r="A32" s="7">
        <v>10104</v>
      </c>
      <c r="B32" s="11">
        <v>10106</v>
      </c>
      <c r="C32" s="44">
        <f>IFERROR(D12,E13)</f>
        <v>-1</v>
      </c>
    </row>
    <row r="33" spans="1:3" ht="15" x14ac:dyDescent="0.2">
      <c r="A33" s="7">
        <v>10110</v>
      </c>
      <c r="B33" s="11">
        <v>10112</v>
      </c>
      <c r="C33" s="44">
        <f>IFERROR(G15,H16)</f>
        <v>-1</v>
      </c>
    </row>
    <row r="34" spans="1:3" ht="15" x14ac:dyDescent="0.2">
      <c r="A34" s="7">
        <v>10100</v>
      </c>
      <c r="B34" s="11">
        <v>10114</v>
      </c>
      <c r="C34" s="44">
        <f>IFERROR(B10,I17)</f>
        <v>-1</v>
      </c>
    </row>
    <row r="35" spans="1:3" ht="15" x14ac:dyDescent="0.2">
      <c r="A35" s="9">
        <v>10112</v>
      </c>
      <c r="B35" s="12">
        <v>10116</v>
      </c>
      <c r="C35" s="44">
        <f>IFERROR(H16,J18)</f>
        <v>-1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apple</cp:lastModifiedBy>
  <dcterms:created xsi:type="dcterms:W3CDTF">2015-02-10T17:33:11Z</dcterms:created>
  <dcterms:modified xsi:type="dcterms:W3CDTF">2023-12-09T21:40:12Z</dcterms:modified>
</cp:coreProperties>
</file>